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ti\Projects\2023\Uni\PFNCE\ass1\"/>
    </mc:Choice>
  </mc:AlternateContent>
  <xr:revisionPtr revIDLastSave="0" documentId="13_ncr:1_{DCD4C4F1-47A5-4B72-9F3B-58B0235EA704}" xr6:coauthVersionLast="47" xr6:coauthVersionMax="47" xr10:uidLastSave="{00000000-0000-0000-0000-000000000000}"/>
  <bookViews>
    <workbookView xWindow="9732" yWindow="0" windowWidth="12060" windowHeight="12240" xr2:uid="{C5F3C483-5157-42EA-BA9B-B98A028482B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B29" i="1" s="1"/>
  <c r="E26" i="1"/>
  <c r="D25" i="1"/>
  <c r="D24" i="1"/>
  <c r="E25" i="1"/>
  <c r="C26" i="1"/>
  <c r="C25" i="1"/>
  <c r="C24" i="1"/>
  <c r="H3" i="1"/>
  <c r="G8" i="1"/>
  <c r="F4" i="1"/>
  <c r="F5" i="1"/>
  <c r="F6" i="1"/>
  <c r="F7" i="1"/>
  <c r="F3" i="1"/>
  <c r="E8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<sst xmlns="http://schemas.openxmlformats.org/spreadsheetml/2006/main" count="32" uniqueCount="25">
  <si>
    <t>Ticker</t>
  </si>
  <si>
    <t>ANZ</t>
  </si>
  <si>
    <t>BHP</t>
  </si>
  <si>
    <t>CSL</t>
  </si>
  <si>
    <t>WOW</t>
  </si>
  <si>
    <t>MP1</t>
  </si>
  <si>
    <t>Equity</t>
  </si>
  <si>
    <t>Amount</t>
  </si>
  <si>
    <t>Price</t>
  </si>
  <si>
    <t>Stake</t>
  </si>
  <si>
    <t>Total</t>
  </si>
  <si>
    <t>Cash</t>
  </si>
  <si>
    <t>Beta</t>
  </si>
  <si>
    <t>https://www.bloomberg.com/markets/rates-bonds/government-bonds/australia</t>
  </si>
  <si>
    <t>Risk free (5 year bond)</t>
  </si>
  <si>
    <t>Beta from Yahoo (5Y monthly)</t>
  </si>
  <si>
    <t>Weight</t>
  </si>
  <si>
    <t>Market Return (5 year)</t>
  </si>
  <si>
    <t>https://www.afr.com/markets/debt-markets/asx-returns-look-more-promising-than-global-markets-super-cios-say-20230108-p5cb3c</t>
  </si>
  <si>
    <t>Expected risky return</t>
  </si>
  <si>
    <t>Returns</t>
  </si>
  <si>
    <t>Portfolio</t>
  </si>
  <si>
    <t>Weights</t>
  </si>
  <si>
    <t>Types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</si>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</sst>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loomberg.com/markets/rates-bonds/government-bonds/australia" TargetMode="External"/><Relationship Id="rId1" Type="http://schemas.openxmlformats.org/officeDocument/2006/relationships/hyperlink" Target="https://www.afr.com/markets/debt-markets/asx-returns-look-more-promising-than-global-markets-super-cios-say-20230108-p5cb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5FB9-DB61-4EA9-B93B-8D31D59BCEF4}">
  <dimension ref="B1:H29"/>
  <sheetViews>
    <sheetView tabSelected="1" zoomScale="145" zoomScaleNormal="145" workbookViewId="0">
      <selection activeCell="D7" sqref="D7"/>
    </sheetView>
  </sheetViews>
  <sheetFormatPr defaultRowHeight="14.4" x14ac:dyDescent="0.3"/>
  <cols>
    <col min="8" max="8" width="25.21875" customWidth="1"/>
  </cols>
  <sheetData>
    <row r="1" spans="2:8" x14ac:dyDescent="0.3">
      <c r="B1" s="2" t="s">
        <v>6</v>
      </c>
      <c r="G1" t="s">
        <v>15</v>
      </c>
    </row>
    <row r="2" spans="2:8" x14ac:dyDescent="0.3">
      <c r="B2" t="s">
        <v>0</v>
      </c>
      <c r="C2" t="s">
        <v>7</v>
      </c>
      <c r="D2" t="s">
        <v>8</v>
      </c>
      <c r="E2" t="s">
        <v>9</v>
      </c>
      <c r="F2" t="s">
        <v>16</v>
      </c>
      <c r="G2" t="s">
        <v>12</v>
      </c>
      <c r="H2" t="s">
        <v>19</v>
      </c>
    </row>
    <row r="3" spans="2:8" x14ac:dyDescent="0.3">
      <c r="B3" t="s">
        <v>1</v>
      </c>
      <c r="C3">
        <v>3000</v>
      </c>
      <c r="D3">
        <v>24.9</v>
      </c>
      <c r="E3">
        <f>C3*D3</f>
        <v>74700</v>
      </c>
      <c r="F3">
        <f>E3/$E$8</f>
        <v>0.19644582947081912</v>
      </c>
      <c r="G3">
        <v>0.83</v>
      </c>
      <c r="H3">
        <f>B12+G8*(E12-B12)</f>
        <v>6.2249212211461971E-2</v>
      </c>
    </row>
    <row r="4" spans="2:8" x14ac:dyDescent="0.3">
      <c r="B4" t="s">
        <v>2</v>
      </c>
      <c r="C4">
        <v>3200</v>
      </c>
      <c r="D4">
        <v>43.15</v>
      </c>
      <c r="E4">
        <f t="shared" ref="E4:E7" si="0">C4*D4</f>
        <v>138080</v>
      </c>
      <c r="F4">
        <f t="shared" ref="F4:F7" si="1">E4/$E$8</f>
        <v>0.36312235787591302</v>
      </c>
      <c r="G4">
        <v>0.83</v>
      </c>
    </row>
    <row r="5" spans="2:8" x14ac:dyDescent="0.3">
      <c r="B5" t="s">
        <v>3</v>
      </c>
      <c r="C5">
        <v>400</v>
      </c>
      <c r="D5">
        <v>270.85000000000002</v>
      </c>
      <c r="E5">
        <f t="shared" si="0"/>
        <v>108340.00000000001</v>
      </c>
      <c r="F5">
        <f t="shared" si="1"/>
        <v>0.2849121976555361</v>
      </c>
      <c r="G5">
        <v>0.2</v>
      </c>
    </row>
    <row r="6" spans="2:8" x14ac:dyDescent="0.3">
      <c r="B6" t="s">
        <v>4</v>
      </c>
      <c r="C6">
        <v>1250</v>
      </c>
      <c r="D6">
        <v>37.75</v>
      </c>
      <c r="E6">
        <f t="shared" si="0"/>
        <v>47187.5</v>
      </c>
      <c r="F6">
        <f t="shared" si="1"/>
        <v>0.12409354187622861</v>
      </c>
      <c r="G6">
        <v>0.23</v>
      </c>
    </row>
    <row r="7" spans="2:8" x14ac:dyDescent="0.3">
      <c r="B7" t="s">
        <v>5</v>
      </c>
      <c r="C7">
        <v>1000</v>
      </c>
      <c r="D7">
        <v>11.95</v>
      </c>
      <c r="E7">
        <f t="shared" si="0"/>
        <v>11950</v>
      </c>
      <c r="F7">
        <f t="shared" si="1"/>
        <v>3.1426073121503195E-2</v>
      </c>
      <c r="G7">
        <v>1.03</v>
      </c>
    </row>
    <row r="8" spans="2:8" x14ac:dyDescent="0.3">
      <c r="B8" t="s">
        <v>10</v>
      </c>
      <c r="E8">
        <f>SUM(E3:E7)</f>
        <v>380257.5</v>
      </c>
      <c r="G8">
        <f>SUMPRODUCT(F3:F7,G3:G7)</f>
        <v>0.58233440497557576</v>
      </c>
    </row>
    <row r="11" spans="2:8" x14ac:dyDescent="0.3">
      <c r="B11" t="s">
        <v>14</v>
      </c>
      <c r="E11" t="s">
        <v>17</v>
      </c>
    </row>
    <row r="12" spans="2:8" x14ac:dyDescent="0.3">
      <c r="B12">
        <v>3.7499999999999999E-2</v>
      </c>
      <c r="E12">
        <v>0.08</v>
      </c>
    </row>
    <row r="13" spans="2:8" x14ac:dyDescent="0.3">
      <c r="B13" s="1" t="s">
        <v>13</v>
      </c>
      <c r="E13" s="1" t="s">
        <v>18</v>
      </c>
    </row>
    <row r="18" spans="2:6" x14ac:dyDescent="0.3">
      <c r="B18" s="2" t="s">
        <v>11</v>
      </c>
    </row>
    <row r="19" spans="2:6" x14ac:dyDescent="0.3">
      <c r="B19" t="s">
        <v>7</v>
      </c>
      <c r="C19" t="s">
        <v>20</v>
      </c>
    </row>
    <row r="20" spans="2:6" x14ac:dyDescent="0.3">
      <c r="B20">
        <v>325000</v>
      </c>
      <c r="C20">
        <v>3.7499999999999999E-2</v>
      </c>
    </row>
    <row r="22" spans="2:6" x14ac:dyDescent="0.3">
      <c r="B22" s="2" t="s">
        <v>21</v>
      </c>
    </row>
    <row r="23" spans="2:6" x14ac:dyDescent="0.3">
      <c r="B23" t="s">
        <v>23</v>
      </c>
      <c r="C23" t="s">
        <v>7</v>
      </c>
      <c r="D23" t="s">
        <v>22</v>
      </c>
      <c r="E23" t="s">
        <v>12</v>
      </c>
      <c r="F23" t="s">
        <v>20</v>
      </c>
    </row>
    <row r="24" spans="2:6" x14ac:dyDescent="0.3">
      <c r="B24" t="s">
        <v>11</v>
      </c>
      <c r="C24">
        <f>B20</f>
        <v>325000</v>
      </c>
      <c r="D24">
        <f>C24/$C$26</f>
        <v>0.46082459243609603</v>
      </c>
      <c r="E24">
        <v>0</v>
      </c>
    </row>
    <row r="25" spans="2:6" x14ac:dyDescent="0.3">
      <c r="B25" t="s">
        <v>6</v>
      </c>
      <c r="C25">
        <f>E8</f>
        <v>380257.5</v>
      </c>
      <c r="D25">
        <f>C25/$C$26</f>
        <v>0.53917540756390392</v>
      </c>
      <c r="E25">
        <f>G8</f>
        <v>0.58233440497557576</v>
      </c>
    </row>
    <row r="26" spans="2:6" x14ac:dyDescent="0.3">
      <c r="B26" t="s">
        <v>10</v>
      </c>
      <c r="C26">
        <f>SUM(C24:C25)</f>
        <v>705257.5</v>
      </c>
      <c r="E26">
        <f>SUMPRODUCT(D24:D25,E24:E25)</f>
        <v>0.31398039014118956</v>
      </c>
      <c r="F26">
        <f>B12+E26*(E12-B12)</f>
        <v>5.0844166581000556E-2</v>
      </c>
    </row>
    <row r="28" spans="2:6" x14ac:dyDescent="0.3">
      <c r="B28" t="s">
        <v>24</v>
      </c>
    </row>
    <row r="29" spans="2:6" x14ac:dyDescent="0.3">
      <c r="B29">
        <f>F26*C26</f>
        <v>35858.229812500002</v>
      </c>
    </row>
  </sheetData>
  <hyperlinks>
    <hyperlink ref="E13" r:id="rId1" xr:uid="{88561DB8-2742-4553-B4A1-8F1C2AF57E60}"/>
    <hyperlink ref="B13" r:id="rId2" xr:uid="{8F2B5BF7-DBEF-4835-A677-A5BFC468F4A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qi</dc:creator>
  <cp:lastModifiedBy>terry qi</cp:lastModifiedBy>
  <dcterms:created xsi:type="dcterms:W3CDTF">2023-09-12T02:49:48Z</dcterms:created>
  <dcterms:modified xsi:type="dcterms:W3CDTF">2023-09-17T13:40:44Z</dcterms:modified>
</cp:coreProperties>
</file>