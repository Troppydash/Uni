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ti\Projects\2023\Uni\FNCE\ass2\"/>
    </mc:Choice>
  </mc:AlternateContent>
  <xr:revisionPtr revIDLastSave="0" documentId="13_ncr:1_{88386ED6-4F3B-407E-A7DC-FB7EC5D8E53B}" xr6:coauthVersionLast="47" xr6:coauthVersionMax="47" xr10:uidLastSave="{00000000-0000-0000-0000-000000000000}"/>
  <bookViews>
    <workbookView xWindow="-108" yWindow="-108" windowWidth="23256" windowHeight="12456" xr2:uid="{192E9F65-9AEB-4B5A-B862-63C8846A41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9" i="1"/>
  <c r="K9" i="1"/>
  <c r="J9" i="1"/>
  <c r="I10" i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E9" i="1"/>
  <c r="F7" i="1"/>
  <c r="F9" i="1"/>
  <c r="E15" i="1"/>
  <c r="E13" i="1"/>
  <c r="E7" i="1"/>
  <c r="D8" i="1"/>
  <c r="F8" i="1" s="1"/>
  <c r="F13" i="1" s="1"/>
  <c r="E14" i="1" l="1"/>
  <c r="E19" i="1"/>
  <c r="E16" i="1"/>
  <c r="E17" i="1" s="1"/>
  <c r="E18" i="1" s="1"/>
  <c r="F14" i="1"/>
  <c r="D13" i="1"/>
  <c r="D14" i="1" s="1"/>
  <c r="F16" i="1" l="1"/>
  <c r="L9" i="1" s="1"/>
  <c r="D23" i="1"/>
  <c r="F19" i="1"/>
  <c r="D16" i="1"/>
  <c r="D19" i="1"/>
  <c r="F17" i="1" l="1"/>
  <c r="G16" i="1"/>
  <c r="J10" i="1"/>
  <c r="K10" i="1"/>
  <c r="F18" i="1"/>
  <c r="F21" i="1"/>
  <c r="D17" i="1"/>
  <c r="D18" i="1" s="1"/>
  <c r="L10" i="1" l="1"/>
  <c r="J11" i="1" s="1"/>
  <c r="K11" i="1"/>
  <c r="L11" i="1" l="1"/>
  <c r="J12" i="1"/>
  <c r="K12" i="1"/>
  <c r="L12" i="1" l="1"/>
  <c r="J13" i="1" s="1"/>
  <c r="K13" i="1"/>
  <c r="L13" i="1" l="1"/>
  <c r="J14" i="1" s="1"/>
  <c r="K14" i="1"/>
  <c r="L14" i="1" l="1"/>
  <c r="J15" i="1" s="1"/>
  <c r="K15" i="1"/>
  <c r="L15" i="1" l="1"/>
  <c r="J16" i="1" s="1"/>
  <c r="K16" i="1"/>
  <c r="L16" i="1" l="1"/>
  <c r="J17" i="1" s="1"/>
  <c r="K17" i="1"/>
  <c r="L17" i="1" l="1"/>
  <c r="J18" i="1"/>
  <c r="K18" i="1"/>
  <c r="L18" i="1" l="1"/>
  <c r="J19" i="1" s="1"/>
  <c r="K19" i="1"/>
  <c r="L19" i="1" l="1"/>
  <c r="J20" i="1" s="1"/>
  <c r="K20" i="1"/>
  <c r="L20" i="1" l="1"/>
  <c r="J21" i="1" s="1"/>
  <c r="L21" i="1" s="1"/>
  <c r="K21" i="1"/>
  <c r="J22" i="1" l="1"/>
  <c r="K22" i="1"/>
  <c r="L22" i="1" l="1"/>
  <c r="J23" i="1" s="1"/>
  <c r="K23" i="1"/>
  <c r="L23" i="1" l="1"/>
  <c r="J24" i="1" s="1"/>
  <c r="K24" i="1"/>
  <c r="L24" i="1" l="1"/>
  <c r="K25" i="1"/>
  <c r="J25" i="1"/>
  <c r="L25" i="1" l="1"/>
  <c r="J26" i="1"/>
  <c r="K26" i="1"/>
  <c r="L26" i="1" l="1"/>
  <c r="J27" i="1" s="1"/>
  <c r="K27" i="1"/>
  <c r="L27" i="1" l="1"/>
  <c r="J28" i="1" s="1"/>
  <c r="K28" i="1"/>
  <c r="L28" i="1" l="1"/>
</calcChain>
</file>

<file path=xl/sharedStrings.xml><?xml version="1.0" encoding="utf-8"?>
<sst xmlns="http://schemas.openxmlformats.org/spreadsheetml/2006/main" count="26" uniqueCount="24">
  <si>
    <t>Yield</t>
  </si>
  <si>
    <t>Life expectancy</t>
  </si>
  <si>
    <t>Fee</t>
  </si>
  <si>
    <t>t</t>
  </si>
  <si>
    <t>CPI</t>
  </si>
  <si>
    <t>r</t>
  </si>
  <si>
    <t>g</t>
  </si>
  <si>
    <t>p</t>
  </si>
  <si>
    <t>A</t>
  </si>
  <si>
    <t>C</t>
  </si>
  <si>
    <t>r(p)</t>
  </si>
  <si>
    <t>PV</t>
  </si>
  <si>
    <t>Male</t>
  </si>
  <si>
    <t>Female</t>
  </si>
  <si>
    <t>First Year</t>
  </si>
  <si>
    <t>Monthly</t>
  </si>
  <si>
    <t>Withdrawal Rate</t>
  </si>
  <si>
    <t>Year</t>
  </si>
  <si>
    <t>Principal</t>
  </si>
  <si>
    <t>Withdrawal</t>
  </si>
  <si>
    <t>EOY Age</t>
  </si>
  <si>
    <t>Remain</t>
  </si>
  <si>
    <t>Withdrawal %</t>
  </si>
  <si>
    <t>Min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</si>
</sst>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0" applyNumberFormat="1"/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C2F96-8B8C-4047-AFC7-BDDB950FEACE}">
  <dimension ref="C1:N32"/>
  <sheetViews>
    <sheetView tabSelected="1" topLeftCell="D17" zoomScale="130" zoomScaleNormal="130" workbookViewId="0">
      <selection activeCell="H8" sqref="H8:N28"/>
    </sheetView>
  </sheetViews>
  <sheetFormatPr defaultRowHeight="14.4" x14ac:dyDescent="0.3"/>
  <cols>
    <col min="3" max="4" width="16.5546875" customWidth="1"/>
    <col min="8" max="14" width="16" customWidth="1"/>
  </cols>
  <sheetData>
    <row r="1" spans="3:14" x14ac:dyDescent="0.3">
      <c r="E1" t="s">
        <v>12</v>
      </c>
      <c r="F1" t="s">
        <v>13</v>
      </c>
    </row>
    <row r="2" spans="3:14" x14ac:dyDescent="0.3">
      <c r="C2" t="s">
        <v>1</v>
      </c>
      <c r="D2">
        <v>80</v>
      </c>
      <c r="E2">
        <v>77.5</v>
      </c>
      <c r="F2">
        <v>80.7</v>
      </c>
    </row>
    <row r="3" spans="3:14" x14ac:dyDescent="0.3">
      <c r="C3" t="s">
        <v>0</v>
      </c>
      <c r="D3">
        <v>6.0170000000000001E-2</v>
      </c>
    </row>
    <row r="4" spans="3:14" x14ac:dyDescent="0.3">
      <c r="C4" t="s">
        <v>2</v>
      </c>
      <c r="D4">
        <v>2.3077E-2</v>
      </c>
    </row>
    <row r="5" spans="3:14" x14ac:dyDescent="0.3">
      <c r="C5" t="s">
        <v>4</v>
      </c>
      <c r="D5">
        <v>0.03</v>
      </c>
    </row>
    <row r="7" spans="3:14" x14ac:dyDescent="0.3">
      <c r="C7" t="s">
        <v>3</v>
      </c>
      <c r="D7">
        <v>20</v>
      </c>
      <c r="E7">
        <f>D7</f>
        <v>20</v>
      </c>
      <c r="F7">
        <f>D7</f>
        <v>20</v>
      </c>
      <c r="J7">
        <v>1.051288</v>
      </c>
    </row>
    <row r="8" spans="3:14" x14ac:dyDescent="0.3">
      <c r="C8" t="s">
        <v>5</v>
      </c>
      <c r="D8">
        <f>D3*(1-D4)</f>
        <v>5.8781456910000002E-2</v>
      </c>
      <c r="E8">
        <v>0.08</v>
      </c>
      <c r="F8">
        <f>D8</f>
        <v>5.8781456910000002E-2</v>
      </c>
      <c r="H8" t="s">
        <v>17</v>
      </c>
      <c r="I8" t="s">
        <v>20</v>
      </c>
      <c r="J8" t="s">
        <v>18</v>
      </c>
      <c r="K8" t="s">
        <v>19</v>
      </c>
      <c r="L8" t="s">
        <v>21</v>
      </c>
      <c r="M8" t="s">
        <v>22</v>
      </c>
      <c r="N8" t="s">
        <v>23</v>
      </c>
    </row>
    <row r="9" spans="3:14" x14ac:dyDescent="0.3">
      <c r="C9" t="s">
        <v>6</v>
      </c>
      <c r="D9">
        <v>0.02</v>
      </c>
      <c r="E9">
        <f>D9</f>
        <v>0.02</v>
      </c>
      <c r="F9">
        <f>D9</f>
        <v>0.02</v>
      </c>
      <c r="H9">
        <v>1</v>
      </c>
      <c r="I9">
        <v>66</v>
      </c>
      <c r="J9" s="1">
        <f>D23</f>
        <v>639667.8869582453</v>
      </c>
      <c r="K9" s="1">
        <f>D22</f>
        <v>45946.62</v>
      </c>
      <c r="L9" s="1">
        <f>J9*(1+$F$8/12)^12-K9</f>
        <v>632351.61864177731</v>
      </c>
      <c r="M9" s="3">
        <f>(K9)/($F$15-$D$23+J9)</f>
        <v>6.5638028571428572E-2</v>
      </c>
      <c r="N9" s="2">
        <v>0.05</v>
      </c>
    </row>
    <row r="10" spans="3:14" x14ac:dyDescent="0.3">
      <c r="C10" t="s">
        <v>7</v>
      </c>
      <c r="D10">
        <v>12</v>
      </c>
      <c r="E10">
        <v>12</v>
      </c>
      <c r="F10">
        <v>12</v>
      </c>
      <c r="H10">
        <v>2</v>
      </c>
      <c r="I10">
        <f>I9+1</f>
        <v>67</v>
      </c>
      <c r="J10" s="1">
        <f>L9</f>
        <v>632351.61864177731</v>
      </c>
      <c r="K10" s="1">
        <f>K9*(1+$F$9)</f>
        <v>46865.5524</v>
      </c>
      <c r="L10" s="1">
        <f t="shared" ref="L10:L28" si="0">J10*(1+$F$8)-K10</f>
        <v>622656.61566493765</v>
      </c>
      <c r="M10" s="3">
        <f t="shared" ref="M10:M28" si="1">(K10)/($F$15-$D$23+J10)</f>
        <v>6.7657937174438465E-2</v>
      </c>
      <c r="N10" s="2">
        <v>0.05</v>
      </c>
    </row>
    <row r="11" spans="3:14" x14ac:dyDescent="0.3">
      <c r="C11" t="s">
        <v>9</v>
      </c>
      <c r="D11">
        <v>70806.429999999993</v>
      </c>
      <c r="F11">
        <v>70806.429999999993</v>
      </c>
      <c r="H11">
        <v>3</v>
      </c>
      <c r="I11">
        <f t="shared" ref="I11:I28" si="2">I10+1</f>
        <v>68</v>
      </c>
      <c r="J11" s="1">
        <f t="shared" ref="J11:J28" si="3">L10</f>
        <v>622656.61566493765</v>
      </c>
      <c r="K11" s="1">
        <f t="shared" ref="K11:K28" si="4">K10*(1+$F$9)</f>
        <v>47802.863448000004</v>
      </c>
      <c r="L11" s="1">
        <f t="shared" si="0"/>
        <v>611454.41524037253</v>
      </c>
      <c r="M11" s="3">
        <f t="shared" si="1"/>
        <v>6.9990706198797048E-2</v>
      </c>
      <c r="N11" s="2">
        <v>0.05</v>
      </c>
    </row>
    <row r="12" spans="3:14" x14ac:dyDescent="0.3">
      <c r="H12">
        <v>4</v>
      </c>
      <c r="I12">
        <f t="shared" si="2"/>
        <v>69</v>
      </c>
      <c r="J12" s="1">
        <f t="shared" si="3"/>
        <v>611454.41524037253</v>
      </c>
      <c r="K12" s="1">
        <f t="shared" si="4"/>
        <v>48758.920716960005</v>
      </c>
      <c r="L12" s="1">
        <f t="shared" si="0"/>
        <v>598637.67588529375</v>
      </c>
      <c r="M12" s="3">
        <f t="shared" si="1"/>
        <v>7.258097425925597E-2</v>
      </c>
      <c r="N12" s="2">
        <v>0.05</v>
      </c>
    </row>
    <row r="13" spans="3:14" x14ac:dyDescent="0.3">
      <c r="C13" t="s">
        <v>10</v>
      </c>
      <c r="D13">
        <f>D10*((1+D8)^(1/D10)-1)</f>
        <v>5.7254833159134932E-2</v>
      </c>
      <c r="E13">
        <f>E10*((1+E8)^(1/E10)-1)</f>
        <v>7.7208361320041163E-2</v>
      </c>
      <c r="F13">
        <f>F10*((1+F8)^(1/F10)-1)</f>
        <v>5.7254833159134932E-2</v>
      </c>
      <c r="H13">
        <v>5</v>
      </c>
      <c r="I13">
        <f t="shared" si="2"/>
        <v>70</v>
      </c>
      <c r="J13" s="1">
        <f t="shared" si="3"/>
        <v>598637.67588529375</v>
      </c>
      <c r="K13" s="1">
        <f t="shared" si="4"/>
        <v>49734.099131299205</v>
      </c>
      <c r="L13" s="1">
        <f t="shared" si="0"/>
        <v>584092.37150374858</v>
      </c>
      <c r="M13" s="3">
        <f t="shared" si="1"/>
        <v>7.5472502635177768E-2</v>
      </c>
      <c r="N13" s="2">
        <v>0.05</v>
      </c>
    </row>
    <row r="14" spans="3:14" x14ac:dyDescent="0.3">
      <c r="C14" t="s">
        <v>8</v>
      </c>
      <c r="D14">
        <f>(1-(1+D9)^D7/(1+D8)^D7)/(D8-D9)*D8/D13</f>
        <v>13.921979178408449</v>
      </c>
      <c r="E14">
        <f>(1-(1+E9)^E7/(1+E8)^E7)/(E8-E9)*E8/E13</f>
        <v>11.763711222457966</v>
      </c>
      <c r="F14">
        <f>(1-(1+F9)^F7/(1+F8)^F7)/(F8-F9)*F8/F13</f>
        <v>13.921979178408449</v>
      </c>
      <c r="H14">
        <v>6</v>
      </c>
      <c r="I14">
        <f t="shared" si="2"/>
        <v>71</v>
      </c>
      <c r="J14" s="1">
        <f t="shared" si="3"/>
        <v>584092.37150374858</v>
      </c>
      <c r="K14" s="1">
        <f t="shared" si="4"/>
        <v>50728.781113925186</v>
      </c>
      <c r="L14" s="1">
        <f t="shared" si="0"/>
        <v>567697.3909568307</v>
      </c>
      <c r="M14" s="3">
        <f t="shared" si="1"/>
        <v>7.8719512263260683E-2</v>
      </c>
      <c r="N14" s="2">
        <v>0.05</v>
      </c>
    </row>
    <row r="15" spans="3:14" x14ac:dyDescent="0.3">
      <c r="C15" t="s">
        <v>11</v>
      </c>
      <c r="D15">
        <v>625000</v>
      </c>
      <c r="E15">
        <f>0.15*700000</f>
        <v>105000</v>
      </c>
      <c r="F15">
        <v>700000</v>
      </c>
      <c r="H15">
        <v>7</v>
      </c>
      <c r="I15">
        <f t="shared" si="2"/>
        <v>72</v>
      </c>
      <c r="J15" s="1">
        <f t="shared" si="3"/>
        <v>567697.3909568307</v>
      </c>
      <c r="K15" s="1">
        <f t="shared" si="4"/>
        <v>51743.356736203692</v>
      </c>
      <c r="L15" s="1">
        <f t="shared" si="0"/>
        <v>549324.11394507543</v>
      </c>
      <c r="M15" s="3">
        <f t="shared" si="1"/>
        <v>8.2390009397265901E-2</v>
      </c>
      <c r="N15" s="2">
        <v>0.05</v>
      </c>
    </row>
    <row r="16" spans="3:14" x14ac:dyDescent="0.3">
      <c r="C16" t="s">
        <v>9</v>
      </c>
      <c r="D16">
        <f>D15/D14</f>
        <v>44893.042288793993</v>
      </c>
      <c r="E16">
        <f>E15/E14</f>
        <v>8925.7546376644914</v>
      </c>
      <c r="F16">
        <f>F15/F14</f>
        <v>50280.207363449277</v>
      </c>
      <c r="G16">
        <f>F16/12</f>
        <v>4190.0172802874395</v>
      </c>
      <c r="H16">
        <v>8</v>
      </c>
      <c r="I16">
        <f t="shared" si="2"/>
        <v>73</v>
      </c>
      <c r="J16" s="1">
        <f t="shared" si="3"/>
        <v>549324.11394507543</v>
      </c>
      <c r="K16" s="1">
        <f t="shared" si="4"/>
        <v>52778.223870927766</v>
      </c>
      <c r="L16" s="1">
        <f t="shared" si="0"/>
        <v>528835.96180763398</v>
      </c>
      <c r="M16" s="3">
        <f t="shared" si="1"/>
        <v>8.6570466329490781E-2</v>
      </c>
      <c r="N16" s="2">
        <v>0.05</v>
      </c>
    </row>
    <row r="17" spans="3:14" x14ac:dyDescent="0.3">
      <c r="C17" t="s">
        <v>14</v>
      </c>
      <c r="D17">
        <f>D16</f>
        <v>44893.042288793993</v>
      </c>
      <c r="E17">
        <f>E16</f>
        <v>8925.7546376644914</v>
      </c>
      <c r="F17">
        <f>F16</f>
        <v>50280.207363449277</v>
      </c>
      <c r="H17">
        <v>9</v>
      </c>
      <c r="I17">
        <f t="shared" si="2"/>
        <v>74</v>
      </c>
      <c r="J17" s="1">
        <f t="shared" si="3"/>
        <v>528835.96180763398</v>
      </c>
      <c r="K17" s="1">
        <f t="shared" si="4"/>
        <v>53833.788348346323</v>
      </c>
      <c r="L17" s="1">
        <f t="shared" si="0"/>
        <v>506087.92176074156</v>
      </c>
      <c r="M17" s="3">
        <f t="shared" si="1"/>
        <v>9.1372548253073727E-2</v>
      </c>
      <c r="N17" s="2">
        <v>0.05</v>
      </c>
    </row>
    <row r="18" spans="3:14" x14ac:dyDescent="0.3">
      <c r="C18" t="s">
        <v>15</v>
      </c>
      <c r="D18">
        <f>D17/12</f>
        <v>3741.0868573994994</v>
      </c>
      <c r="E18">
        <f>E17/12</f>
        <v>743.81288647204099</v>
      </c>
      <c r="F18">
        <f>F17/12</f>
        <v>4190.0172802874395</v>
      </c>
      <c r="H18">
        <v>10</v>
      </c>
      <c r="I18">
        <f t="shared" si="2"/>
        <v>75</v>
      </c>
      <c r="J18" s="1">
        <f t="shared" si="3"/>
        <v>506087.92176074156</v>
      </c>
      <c r="K18" s="1">
        <f t="shared" si="4"/>
        <v>54910.464115313247</v>
      </c>
      <c r="L18" s="1">
        <f t="shared" si="0"/>
        <v>480926.04301107884</v>
      </c>
      <c r="M18" s="3">
        <f t="shared" si="1"/>
        <v>9.6943011795936673E-2</v>
      </c>
      <c r="N18" s="2">
        <v>0.05</v>
      </c>
    </row>
    <row r="19" spans="3:14" x14ac:dyDescent="0.3">
      <c r="C19" t="s">
        <v>11</v>
      </c>
      <c r="D19">
        <f>D14*D11</f>
        <v>985765.64415743528</v>
      </c>
      <c r="E19">
        <f>E14*E11</f>
        <v>0</v>
      </c>
      <c r="F19">
        <f>F14*F11</f>
        <v>985765.64415743528</v>
      </c>
      <c r="H19">
        <v>11</v>
      </c>
      <c r="I19">
        <f t="shared" si="2"/>
        <v>76</v>
      </c>
      <c r="J19" s="1">
        <f t="shared" si="3"/>
        <v>480926.04301107884</v>
      </c>
      <c r="K19" s="1">
        <f t="shared" si="4"/>
        <v>56008.67339761951</v>
      </c>
      <c r="L19" s="1">
        <f t="shared" si="0"/>
        <v>453186.90308761189</v>
      </c>
      <c r="M19" s="3">
        <f t="shared" si="1"/>
        <v>0.1034786686746063</v>
      </c>
      <c r="N19" s="2">
        <v>0.05</v>
      </c>
    </row>
    <row r="20" spans="3:14" x14ac:dyDescent="0.3">
      <c r="H20">
        <v>12</v>
      </c>
      <c r="I20">
        <f t="shared" si="2"/>
        <v>77</v>
      </c>
      <c r="J20" s="1">
        <f t="shared" si="3"/>
        <v>453186.90308761189</v>
      </c>
      <c r="K20" s="1">
        <f t="shared" si="4"/>
        <v>57128.846865571904</v>
      </c>
      <c r="L20" s="1">
        <f t="shared" si="0"/>
        <v>422697.04263806081</v>
      </c>
      <c r="M20" s="3">
        <f t="shared" si="1"/>
        <v>0.11124972020740106</v>
      </c>
      <c r="N20" s="2">
        <v>0.06</v>
      </c>
    </row>
    <row r="21" spans="3:14" x14ac:dyDescent="0.3">
      <c r="C21" t="s">
        <v>16</v>
      </c>
      <c r="F21">
        <f>F17/F15</f>
        <v>7.1828867662070389E-2</v>
      </c>
      <c r="H21">
        <v>13</v>
      </c>
      <c r="I21">
        <f t="shared" si="2"/>
        <v>78</v>
      </c>
      <c r="J21" s="1">
        <f t="shared" si="3"/>
        <v>422697.04263806081</v>
      </c>
      <c r="K21" s="1">
        <f t="shared" si="4"/>
        <v>58271.423802883342</v>
      </c>
      <c r="L21" s="1">
        <f t="shared" si="0"/>
        <v>389272.36683299107</v>
      </c>
      <c r="M21" s="3">
        <f t="shared" si="1"/>
        <v>0.12063748764993722</v>
      </c>
      <c r="N21" s="2">
        <v>0.06</v>
      </c>
    </row>
    <row r="22" spans="3:14" x14ac:dyDescent="0.3">
      <c r="D22">
        <v>45946.62</v>
      </c>
      <c r="H22">
        <v>14</v>
      </c>
      <c r="I22">
        <f t="shared" si="2"/>
        <v>79</v>
      </c>
      <c r="J22" s="1">
        <f t="shared" si="3"/>
        <v>389272.36683299107</v>
      </c>
      <c r="K22" s="1">
        <f t="shared" si="4"/>
        <v>59436.852278941013</v>
      </c>
      <c r="L22" s="1">
        <f t="shared" si="0"/>
        <v>352717.51141129725</v>
      </c>
      <c r="M22" s="3">
        <f t="shared" si="1"/>
        <v>0.13219808729552557</v>
      </c>
      <c r="N22" s="2">
        <v>0.06</v>
      </c>
    </row>
    <row r="23" spans="3:14" x14ac:dyDescent="0.3">
      <c r="D23">
        <f>D22*F14</f>
        <v>639667.8869582453</v>
      </c>
      <c r="H23">
        <v>15</v>
      </c>
      <c r="I23">
        <f t="shared" si="2"/>
        <v>80</v>
      </c>
      <c r="J23" s="1">
        <f t="shared" si="3"/>
        <v>352717.51141129725</v>
      </c>
      <c r="K23" s="1">
        <f t="shared" si="4"/>
        <v>60625.589324519831</v>
      </c>
      <c r="L23" s="1">
        <f t="shared" si="0"/>
        <v>312825.17128520302</v>
      </c>
      <c r="M23" s="3">
        <f t="shared" si="1"/>
        <v>0.14677555851745039</v>
      </c>
      <c r="N23" s="2">
        <v>0.06</v>
      </c>
    </row>
    <row r="24" spans="3:14" x14ac:dyDescent="0.3">
      <c r="H24">
        <v>16</v>
      </c>
      <c r="I24">
        <f t="shared" si="2"/>
        <v>81</v>
      </c>
      <c r="J24" s="1">
        <f t="shared" si="3"/>
        <v>312825.17128520302</v>
      </c>
      <c r="K24" s="1">
        <f t="shared" si="4"/>
        <v>61838.101111010226</v>
      </c>
      <c r="L24" s="1">
        <f t="shared" si="0"/>
        <v>269375.38950045733</v>
      </c>
      <c r="M24" s="3">
        <f t="shared" si="1"/>
        <v>0.16571591580355732</v>
      </c>
      <c r="N24" s="2">
        <v>7.0000000000000007E-2</v>
      </c>
    </row>
    <row r="25" spans="3:14" x14ac:dyDescent="0.3">
      <c r="H25">
        <v>17</v>
      </c>
      <c r="I25">
        <f t="shared" si="2"/>
        <v>82</v>
      </c>
      <c r="J25" s="1">
        <f t="shared" si="3"/>
        <v>269375.38950045733</v>
      </c>
      <c r="K25" s="1">
        <f t="shared" si="4"/>
        <v>63074.863133230429</v>
      </c>
      <c r="L25" s="1">
        <f t="shared" si="0"/>
        <v>222134.80421776249</v>
      </c>
      <c r="M25" s="3">
        <f t="shared" si="1"/>
        <v>0.191305513665571</v>
      </c>
      <c r="N25" s="2">
        <v>7.0000000000000007E-2</v>
      </c>
    </row>
    <row r="26" spans="3:14" x14ac:dyDescent="0.3">
      <c r="H26">
        <v>18</v>
      </c>
      <c r="I26">
        <f t="shared" si="2"/>
        <v>83</v>
      </c>
      <c r="J26" s="1">
        <f t="shared" si="3"/>
        <v>222134.80421776249</v>
      </c>
      <c r="K26" s="1">
        <f t="shared" si="4"/>
        <v>64336.360395895041</v>
      </c>
      <c r="L26" s="1">
        <f t="shared" si="0"/>
        <v>170855.85124420514</v>
      </c>
      <c r="M26" s="3">
        <f t="shared" si="1"/>
        <v>0.22776600183867143</v>
      </c>
      <c r="N26" s="2">
        <v>7.0000000000000007E-2</v>
      </c>
    </row>
    <row r="27" spans="3:14" x14ac:dyDescent="0.3">
      <c r="H27">
        <v>19</v>
      </c>
      <c r="I27">
        <f t="shared" si="2"/>
        <v>84</v>
      </c>
      <c r="J27" s="1">
        <f t="shared" si="3"/>
        <v>170855.85124420514</v>
      </c>
      <c r="K27" s="1">
        <f t="shared" si="4"/>
        <v>65623.087603812935</v>
      </c>
      <c r="L27" s="1">
        <f t="shared" si="0"/>
        <v>115275.91949812481</v>
      </c>
      <c r="M27" s="3">
        <f t="shared" si="1"/>
        <v>0.28385166073196944</v>
      </c>
      <c r="N27" s="2">
        <v>7.0000000000000007E-2</v>
      </c>
    </row>
    <row r="28" spans="3:14" x14ac:dyDescent="0.3">
      <c r="H28">
        <v>20</v>
      </c>
      <c r="I28">
        <f t="shared" si="2"/>
        <v>85</v>
      </c>
      <c r="J28" s="1">
        <f t="shared" si="3"/>
        <v>115275.91949812481</v>
      </c>
      <c r="K28" s="1">
        <f t="shared" si="4"/>
        <v>66935.54935588919</v>
      </c>
      <c r="L28" s="1">
        <f t="shared" si="0"/>
        <v>55116.456636975287</v>
      </c>
      <c r="M28" s="3">
        <f t="shared" si="1"/>
        <v>0.3811645081820989</v>
      </c>
      <c r="N28" s="2">
        <v>7.0000000000000007E-2</v>
      </c>
    </row>
    <row r="29" spans="3:14" x14ac:dyDescent="0.3">
      <c r="J29" s="1"/>
      <c r="K29" s="1"/>
      <c r="L29" s="1"/>
      <c r="M29" s="3"/>
      <c r="N29" s="2"/>
    </row>
    <row r="30" spans="3:14" x14ac:dyDescent="0.3">
      <c r="J30" s="1"/>
      <c r="K30" s="1"/>
      <c r="L30" s="1"/>
      <c r="M30" s="3"/>
      <c r="N30" s="2"/>
    </row>
    <row r="31" spans="3:14" x14ac:dyDescent="0.3">
      <c r="J31" s="1"/>
      <c r="K31" s="1"/>
      <c r="L31" s="1"/>
      <c r="M31" s="3"/>
      <c r="N31" s="2"/>
    </row>
    <row r="32" spans="3:14" x14ac:dyDescent="0.3">
      <c r="J32" s="1"/>
      <c r="K32" s="1"/>
      <c r="L32" s="1"/>
      <c r="M32" s="3"/>
      <c r="N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qi</dc:creator>
  <cp:lastModifiedBy>terry qi</cp:lastModifiedBy>
  <dcterms:created xsi:type="dcterms:W3CDTF">2023-10-02T12:13:50Z</dcterms:created>
  <dcterms:modified xsi:type="dcterms:W3CDTF">2023-10-08T12:54:49Z</dcterms:modified>
</cp:coreProperties>
</file>